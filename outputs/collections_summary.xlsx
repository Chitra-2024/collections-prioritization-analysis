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0"/>
  <workbookPr hidePivotFieldList="1" defaultThemeVersion="166925"/>
  <xr:revisionPtr revIDLastSave="0" documentId="8_{30ECBA5C-A979-4980-BE31-6D0D5892CAA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ummary" sheetId="1" r:id="rId1"/>
    <sheet name="RollMatrix" sheetId="5" r:id="rId2"/>
    <sheet name="BackTest" sheetId="4" r:id="rId3"/>
    <sheet name="RollRates" sheetId="2" r:id="rId4"/>
    <sheet name="BucketSummary" sheetId="3" r:id="rId5"/>
  </sheets>
  <calcPr calcId="191028"/>
  <pivotCaches>
    <pivotCache cacheId="23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5" i="1" l="1"/>
  <c r="B15" i="1"/>
  <c r="B13" i="1"/>
  <c r="B14" i="1"/>
  <c r="B12" i="1"/>
  <c r="B11" i="1"/>
  <c r="F6" i="1"/>
  <c r="F7" i="1"/>
  <c r="F5" i="1"/>
  <c r="E6" i="1"/>
  <c r="E7" i="1"/>
  <c r="E5" i="1"/>
  <c r="C6" i="1"/>
  <c r="C7" i="1"/>
  <c r="B6" i="1"/>
  <c r="B7" i="1"/>
  <c r="B5" i="1"/>
  <c r="D6" i="1" l="1"/>
  <c r="D7" i="1"/>
  <c r="D5" i="1"/>
</calcChain>
</file>

<file path=xl/sharedStrings.xml><?xml version="1.0" encoding="utf-8"?>
<sst xmlns="http://schemas.openxmlformats.org/spreadsheetml/2006/main" count="108" uniqueCount="42">
  <si>
    <t>Collections Prioritization: Summary</t>
  </si>
  <si>
    <t>Source: Kaggle Home Credit sample (30,000 customers), early-stage collections (1-90 DPD)</t>
  </si>
  <si>
    <t>Roll rates by delinquency bucket</t>
  </si>
  <si>
    <t>Bucket</t>
  </si>
  <si>
    <t>Next-month transitions</t>
  </si>
  <si>
    <t>Cured to current</t>
  </si>
  <si>
    <t>Cure Rate</t>
  </si>
  <si>
    <t>Account-months (backtest base)</t>
  </si>
  <si>
    <t>Rolled to worse bucket</t>
  </si>
  <si>
    <t>1-30</t>
  </si>
  <si>
    <t>31-60</t>
  </si>
  <si>
    <t>61-90</t>
  </si>
  <si>
    <t>Backtest at 10% contact capacity</t>
  </si>
  <si>
    <t>Oldest-first capture at 10%</t>
  </si>
  <si>
    <t>Alternative (v3) capture at 10%</t>
  </si>
  <si>
    <t>Random picking</t>
  </si>
  <si>
    <t>Lift of oldest-first vs random (x)</t>
  </si>
  <si>
    <t>Gap: v3 minus oldest-first (pp)</t>
  </si>
  <si>
    <t>Key findings</t>
  </si>
  <si>
    <t>Early lateness mostly cures: 45.8% of 1-30 day accounts return to current next month.</t>
  </si>
  <si>
    <t>Risk climbs with lateness: 62.1% of 31-60 and 92.5% of 61-90 day accounts roll into a worse bucket.</t>
  </si>
  <si>
    <t>Oldest-first captures about 6x random at 10% capacity; weighting by loan amount did not beat it.</t>
  </si>
  <si>
    <t>Limitation: public data with no contact log, so this shows targeting quality only.</t>
  </si>
  <si>
    <t>Share of Row</t>
  </si>
  <si>
    <t>Next Month</t>
  </si>
  <si>
    <t>This Month</t>
  </si>
  <si>
    <t>0 Current</t>
  </si>
  <si>
    <t>90+</t>
  </si>
  <si>
    <t>Closed</t>
  </si>
  <si>
    <t>Grand Total</t>
  </si>
  <si>
    <t>capacity_pct</t>
  </si>
  <si>
    <t>baseline_capture</t>
  </si>
  <si>
    <t>v1_bucket_x_exposure</t>
  </si>
  <si>
    <t>v2_dpdband_x_exposure</t>
  </si>
  <si>
    <t>v3_band_then_exposure</t>
  </si>
  <si>
    <t>random_capture</t>
  </si>
  <si>
    <t>bucket</t>
  </si>
  <si>
    <t>next_bucket</t>
  </si>
  <si>
    <t>n</t>
  </si>
  <si>
    <t>pct</t>
  </si>
  <si>
    <t>account_months</t>
  </si>
  <si>
    <t>pct_bad_next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</si>
</sst>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Border="1" applyAlignment="1"/>
    <xf numFmtId="0" fontId="0" fillId="0" borderId="0" xfId="0" pivotButton="1"/>
    <xf numFmtId="164" fontId="0" fillId="0" borderId="0" xfId="0" applyNumberFormat="1"/>
    <xf numFmtId="49" fontId="0" fillId="0" borderId="0" xfId="0" applyNumberFormat="1"/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9" fontId="1" fillId="0" borderId="0" xfId="0" applyNumberFormat="1" applyFont="1" applyBorder="1" applyAlignment="1"/>
    <xf numFmtId="0" fontId="3" fillId="0" borderId="1" xfId="0" applyFont="1" applyBorder="1"/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0" borderId="5" xfId="0" applyFont="1" applyBorder="1"/>
    <xf numFmtId="0" fontId="0" fillId="0" borderId="2" xfId="0" applyBorder="1"/>
    <xf numFmtId="0" fontId="3" fillId="0" borderId="6" xfId="0" applyFont="1" applyBorder="1"/>
    <xf numFmtId="3" fontId="0" fillId="0" borderId="0" xfId="0" applyNumberFormat="1"/>
    <xf numFmtId="164" fontId="0" fillId="0" borderId="3" xfId="0" applyNumberFormat="1" applyBorder="1"/>
    <xf numFmtId="164" fontId="0" fillId="0" borderId="2" xfId="0" applyNumberFormat="1" applyBorder="1"/>
    <xf numFmtId="2" fontId="0" fillId="0" borderId="4" xfId="0" applyNumberFormat="1" applyBorder="1"/>
  </cellXfs>
  <cellStyles count="1">
    <cellStyle name="Normal" xfId="0" builtinId="0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Exposure captured vs contact capacity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{"Oldest first"}</c:f>
              <c:strCache>
                <c:ptCount val="1"/>
                <c:pt idx="0">
                  <c:v>Oldest first</c:v>
                </c:pt>
              </c:strCache>
            </c:strRef>
          </c:tx>
          <c:spPr>
            <a:ln w="38100" cap="rnd" cmpd="sng" algn="ctr">
              <a:solidFill>
                <a:srgbClr val="4472C4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BackTest!$A$2:$A$6</c:f>
              <c:numCache>
                <c:formatCode>General</c:formatCode>
                <c:ptCount val="5"/>
                <c:pt idx="0">
                  <c:v>0.05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0.5</c:v>
                </c:pt>
              </c:numCache>
            </c:numRef>
          </c:xVal>
          <c:yVal>
            <c:numRef>
              <c:f>BackTest!$B$2:$B$6</c:f>
              <c:numCache>
                <c:formatCode>General</c:formatCode>
                <c:ptCount val="5"/>
                <c:pt idx="0">
                  <c:v>0.45700000000000002</c:v>
                </c:pt>
                <c:pt idx="1">
                  <c:v>0.59699999999999998</c:v>
                </c:pt>
                <c:pt idx="2">
                  <c:v>0.68600000000000005</c:v>
                </c:pt>
                <c:pt idx="3">
                  <c:v>0.80700000000000005</c:v>
                </c:pt>
                <c:pt idx="4">
                  <c:v>0.89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744-4961-8754-B2D75A28C64B}"/>
            </c:ext>
          </c:extLst>
        </c:ser>
        <c:ser>
          <c:idx val="1"/>
          <c:order val="1"/>
          <c:tx>
            <c:strRef>
              <c:f>{"V1: bucket x amount"}</c:f>
              <c:strCache>
                <c:ptCount val="1"/>
                <c:pt idx="0">
                  <c:v>V1: bucket x amount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BackTest!$A$2:$A$6</c:f>
              <c:numCache>
                <c:formatCode>General</c:formatCode>
                <c:ptCount val="5"/>
                <c:pt idx="0">
                  <c:v>0.05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0.5</c:v>
                </c:pt>
              </c:numCache>
            </c:numRef>
          </c:xVal>
          <c:yVal>
            <c:numRef>
              <c:f>BackTest!$C$2:$C$6</c:f>
              <c:numCache>
                <c:formatCode>General</c:formatCode>
                <c:ptCount val="5"/>
                <c:pt idx="0">
                  <c:v>0.39</c:v>
                </c:pt>
                <c:pt idx="1">
                  <c:v>0.48799999999999999</c:v>
                </c:pt>
                <c:pt idx="2">
                  <c:v>0.57699999999999996</c:v>
                </c:pt>
                <c:pt idx="3">
                  <c:v>0.627</c:v>
                </c:pt>
                <c:pt idx="4">
                  <c:v>0.72399999999999998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744-4961-8754-B2D75A28C64B}"/>
            </c:ext>
          </c:extLst>
        </c:ser>
        <c:ser>
          <c:idx val="2"/>
          <c:order val="2"/>
          <c:tx>
            <c:strRef>
              <c:f>{"V2: DPD band x amount"}</c:f>
              <c:strCache>
                <c:ptCount val="1"/>
                <c:pt idx="0">
                  <c:v>V2: DPD band x amount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BackTest!$A$2:$A$6</c:f>
              <c:numCache>
                <c:formatCode>General</c:formatCode>
                <c:ptCount val="5"/>
                <c:pt idx="0">
                  <c:v>0.05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0.5</c:v>
                </c:pt>
              </c:numCache>
            </c:numRef>
          </c:xVal>
          <c:yVal>
            <c:numRef>
              <c:f>BackTest!$D$2:$D$6</c:f>
              <c:numCache>
                <c:formatCode>General</c:formatCode>
                <c:ptCount val="5"/>
                <c:pt idx="0">
                  <c:v>0.437</c:v>
                </c:pt>
                <c:pt idx="1">
                  <c:v>0.52200000000000002</c:v>
                </c:pt>
                <c:pt idx="2">
                  <c:v>0.63200000000000001</c:v>
                </c:pt>
                <c:pt idx="3">
                  <c:v>0.68899999999999995</c:v>
                </c:pt>
                <c:pt idx="4">
                  <c:v>0.79300000000000004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744-4961-8754-B2D75A28C64B}"/>
            </c:ext>
          </c:extLst>
        </c:ser>
        <c:ser>
          <c:idx val="3"/>
          <c:order val="3"/>
          <c:tx>
            <c:strRef>
              <c:f>{"V3: DPD band, then amount"}</c:f>
              <c:strCache>
                <c:ptCount val="1"/>
                <c:pt idx="0">
                  <c:v>V3: DPD band, then amount</c:v>
                </c:pt>
              </c:strCache>
            </c:strRef>
          </c:tx>
          <c:spPr>
            <a:ln w="19050" cap="rnd" cmpd="sng" algn="ctr">
              <a:solidFill>
                <a:srgbClr val="FFC000"/>
              </a:solidFill>
              <a:prstDash val="sysDash"/>
              <a:round/>
              <a:headEnd type="none" w="med" len="med"/>
              <a:tailEnd type="none" w="med" len="med"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BackTest!$A$2:$A$6</c:f>
              <c:numCache>
                <c:formatCode>General</c:formatCode>
                <c:ptCount val="5"/>
                <c:pt idx="0">
                  <c:v>0.05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0.5</c:v>
                </c:pt>
              </c:numCache>
            </c:numRef>
          </c:xVal>
          <c:yVal>
            <c:numRef>
              <c:f>BackTest!$E$2:$E$6</c:f>
              <c:numCache>
                <c:formatCode>General</c:formatCode>
                <c:ptCount val="5"/>
                <c:pt idx="0">
                  <c:v>0.45300000000000001</c:v>
                </c:pt>
                <c:pt idx="1">
                  <c:v>0.59</c:v>
                </c:pt>
                <c:pt idx="2">
                  <c:v>0.68500000000000005</c:v>
                </c:pt>
                <c:pt idx="3">
                  <c:v>0.79700000000000004</c:v>
                </c:pt>
                <c:pt idx="4">
                  <c:v>0.88600000000000001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744-4961-8754-B2D75A28C64B}"/>
            </c:ext>
          </c:extLst>
        </c:ser>
        <c:ser>
          <c:idx val="4"/>
          <c:order val="4"/>
          <c:tx>
            <c:strRef>
              <c:f>{"Random"}</c:f>
              <c:strCache>
                <c:ptCount val="1"/>
                <c:pt idx="0">
                  <c:v>Random</c:v>
                </c:pt>
              </c:strCache>
            </c:strRef>
          </c:tx>
          <c:spPr>
            <a:ln w="19050" cap="rnd" cmpd="sng" algn="ctr">
              <a:solidFill>
                <a:srgbClr val="808080"/>
              </a:solidFill>
              <a:prstDash val="sysDash"/>
              <a:round/>
              <a:headEnd type="none" w="med" len="med"/>
              <a:tailEnd type="none" w="med" len="med"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BackTest!$A$2:$A$6</c:f>
              <c:numCache>
                <c:formatCode>General</c:formatCode>
                <c:ptCount val="5"/>
                <c:pt idx="0">
                  <c:v>0.05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0.5</c:v>
                </c:pt>
              </c:numCache>
            </c:numRef>
          </c:xVal>
          <c:yVal>
            <c:numRef>
              <c:f>BackTest!$F$2:$F$6</c:f>
              <c:numCache>
                <c:formatCode>General</c:formatCode>
                <c:ptCount val="5"/>
                <c:pt idx="0">
                  <c:v>0.05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744-4961-8754-B2D75A28C6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8918664"/>
        <c:axId val="598920712"/>
      </c:scatterChart>
      <c:valAx>
        <c:axId val="598918664"/>
        <c:scaling>
          <c:orientation val="minMax"/>
          <c:max val="0.55000000000000004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Share of overdue accounts contacted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920712"/>
        <c:crosses val="autoZero"/>
        <c:crossBetween val="midCat"/>
      </c:valAx>
      <c:valAx>
        <c:axId val="598920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Share of risky exposure captured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9186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514350</xdr:colOff>
      <xdr:row>9</xdr:row>
      <xdr:rowOff>38100</xdr:rowOff>
    </xdr:from>
    <xdr:to>
      <xdr:col>5</xdr:col>
      <xdr:colOff>638175</xdr:colOff>
      <xdr:row>23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C5E745-CFBE-48B9-97C5-247D1302C4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10.529232754627" createdVersion="8" refreshedVersion="8" minRefreshableVersion="3" recordCount="27" xr:uid="{B8E5B93D-2ED5-446B-B2BD-F54778611D93}">
  <cacheSource type="worksheet">
    <worksheetSource name="tblRoll"/>
  </cacheSource>
  <cacheFields count="4">
    <cacheField name="bucket" numFmtId="0">
      <sharedItems count="5">
        <s v="0 Current"/>
        <s v="1-30"/>
        <s v="31-60"/>
        <s v="61-90"/>
        <s v="90+"/>
      </sharedItems>
    </cacheField>
    <cacheField name="next_bucket" numFmtId="0">
      <sharedItems count="6">
        <s v="0 Current"/>
        <s v="1-30"/>
        <s v="31-60"/>
        <s v="90+"/>
        <s v="Closed"/>
        <s v="61-90"/>
      </sharedItems>
    </cacheField>
    <cacheField name="n" numFmtId="0">
      <sharedItems containsSemiMixedTypes="0" containsString="0" containsNumber="1" containsInteger="1" minValue="1" maxValue="714528"/>
    </cacheField>
    <cacheField name="pct" numFmtId="0">
      <sharedItems containsSemiMixedTypes="0" containsString="0" containsNumber="1" minValue="0" maxValue="95.7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">
  <r>
    <x v="0"/>
    <x v="0"/>
    <n v="714528"/>
    <n v="91.1"/>
  </r>
  <r>
    <x v="0"/>
    <x v="1"/>
    <n v="8796"/>
    <n v="1.1000000000000001"/>
  </r>
  <r>
    <x v="0"/>
    <x v="2"/>
    <n v="25"/>
    <n v="0"/>
  </r>
  <r>
    <x v="0"/>
    <x v="3"/>
    <n v="27"/>
    <n v="0"/>
  </r>
  <r>
    <x v="0"/>
    <x v="4"/>
    <n v="60751"/>
    <n v="7.7"/>
  </r>
  <r>
    <x v="1"/>
    <x v="0"/>
    <n v="6572"/>
    <n v="45.8"/>
  </r>
  <r>
    <x v="1"/>
    <x v="1"/>
    <n v="5805"/>
    <n v="40.4"/>
  </r>
  <r>
    <x v="1"/>
    <x v="2"/>
    <n v="641"/>
    <n v="4.5"/>
  </r>
  <r>
    <x v="1"/>
    <x v="5"/>
    <n v="14"/>
    <n v="0.1"/>
  </r>
  <r>
    <x v="1"/>
    <x v="4"/>
    <n v="1325"/>
    <n v="9.1999999999999993"/>
  </r>
  <r>
    <x v="2"/>
    <x v="0"/>
    <n v="80"/>
    <n v="11.5"/>
  </r>
  <r>
    <x v="2"/>
    <x v="1"/>
    <n v="54"/>
    <n v="7.7"/>
  </r>
  <r>
    <x v="2"/>
    <x v="2"/>
    <n v="42"/>
    <n v="6"/>
  </r>
  <r>
    <x v="2"/>
    <x v="5"/>
    <n v="432"/>
    <n v="61.9"/>
  </r>
  <r>
    <x v="2"/>
    <x v="3"/>
    <n v="9"/>
    <n v="1.3"/>
  </r>
  <r>
    <x v="2"/>
    <x v="4"/>
    <n v="81"/>
    <n v="11.6"/>
  </r>
  <r>
    <x v="3"/>
    <x v="0"/>
    <n v="11"/>
    <n v="2.4"/>
  </r>
  <r>
    <x v="3"/>
    <x v="1"/>
    <n v="2"/>
    <n v="0.4"/>
  </r>
  <r>
    <x v="3"/>
    <x v="2"/>
    <n v="2"/>
    <n v="0.4"/>
  </r>
  <r>
    <x v="3"/>
    <x v="5"/>
    <n v="3"/>
    <n v="0.7"/>
  </r>
  <r>
    <x v="3"/>
    <x v="3"/>
    <n v="416"/>
    <n v="91.4"/>
  </r>
  <r>
    <x v="3"/>
    <x v="4"/>
    <n v="21"/>
    <n v="4.5999999999999996"/>
  </r>
  <r>
    <x v="4"/>
    <x v="0"/>
    <n v="199"/>
    <n v="2"/>
  </r>
  <r>
    <x v="4"/>
    <x v="1"/>
    <n v="2"/>
    <n v="0"/>
  </r>
  <r>
    <x v="4"/>
    <x v="2"/>
    <n v="1"/>
    <n v="0"/>
  </r>
  <r>
    <x v="4"/>
    <x v="3"/>
    <n v="9306"/>
    <n v="95.7"/>
  </r>
  <r>
    <x v="4"/>
    <x v="4"/>
    <n v="218"/>
    <n v="2.20000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95F098-71D5-46DD-ACFB-6C8A44472209}" name="PivotTable1" cacheId="231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>
  <location ref="A3:H9" firstHeaderRow="1" firstDataRow="2" firstDataCol="1"/>
  <pivotFields count="4">
    <pivotField name="This Month" axis="axisRow" compact="0" outline="0" showAll="0">
      <items count="6">
        <item x="0"/>
        <item x="1"/>
        <item x="2"/>
        <item x="3"/>
        <item x="4"/>
        <item t="default"/>
      </items>
    </pivotField>
    <pivotField name="Next Month" axis="axisCol" compact="0" outline="0" showAll="0">
      <items count="7">
        <item x="0"/>
        <item x="1"/>
        <item x="2"/>
        <item x="5"/>
        <item x="3"/>
        <item x="4"/>
        <item t="default"/>
      </items>
    </pivotField>
    <pivotField dataField="1" compact="0" outline="0" showAll="0"/>
    <pivotField compact="0" outline="0" showAll="0"/>
  </pivotFields>
  <rowFields count="1">
    <field x="0"/>
  </rowFields>
  <rowItems count="5">
    <i>
      <x/>
    </i>
    <i>
      <x v="1"/>
    </i>
    <i>
      <x v="2"/>
    </i>
    <i>
      <x v="3"/>
    </i>
    <i>
      <x v="4"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hare of Row" fld="2" showDataAs="percentOfRow" baseField="0" baseItem="0" numFmtId="10"/>
  </dataFields>
  <formats count="4">
    <format dxfId="17">
      <pivotArea outline="0" fieldPosition="0">
        <references count="2">
          <reference field="0" count="1" selected="0">
            <x v="0"/>
          </reference>
          <reference field="1" count="1" selected="0">
            <x v="0"/>
          </reference>
        </references>
      </pivotArea>
    </format>
    <format dxfId="18">
      <pivotArea outline="0" fieldPosition="0">
        <references count="2">
          <reference field="0" count="0" selected="0"/>
          <reference field="1" count="5" selected="0">
            <x v="1"/>
            <x v="2"/>
            <x v="3"/>
            <x v="4"/>
            <x v="5"/>
          </reference>
        </references>
      </pivotArea>
    </format>
    <format dxfId="19">
      <pivotArea field="0" grandCol="1" outline="0" axis="axisRow" fieldPosition="0">
        <references count="1">
          <reference field="0" count="0" selected="0"/>
        </references>
      </pivotArea>
    </format>
    <format dxfId="20">
      <pivotArea outline="0" fieldPosition="0">
        <references count="2">
          <reference field="0" count="4" selected="0">
            <x v="1"/>
            <x v="2"/>
            <x v="3"/>
            <x v="4"/>
          </reference>
          <reference field="1" count="1" selected="0">
            <x v="0"/>
          </reference>
        </references>
      </pivotArea>
    </format>
  </formats>
  <conditionalFormats count="1">
    <conditionalFormat priority="2">
      <pivotAreas count="1">
        <pivotArea type="data" outline="0" collapsedLevelsAreSubtotals="1" fieldPosition="0">
          <references count="2">
            <reference field="4294967294" count="1" selected="0">
              <x v="0"/>
            </reference>
            <reference field="1" count="6" selected="0">
              <x v="0"/>
              <x v="1"/>
              <x v="2"/>
              <x v="3"/>
              <x v="4"/>
              <x v="5"/>
            </reference>
          </references>
        </pivotArea>
      </pivotAreas>
    </conditionalFormat>
  </conditional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C163BF9-59D1-484D-BE90-D7C1727ECEDC}" name="tblGain" displayName="tblGain" ref="A1:F6" totalsRowShown="0" headerRowDxfId="16" dataDxfId="15">
  <autoFilter ref="A1:F6" xr:uid="{5C163BF9-59D1-484D-BE90-D7C1727ECEDC}"/>
  <tableColumns count="6">
    <tableColumn id="1" xr3:uid="{7C4D5AFB-653C-4356-82B7-4C036DD2C2B0}" name="capacity_pct" dataDxfId="14"/>
    <tableColumn id="2" xr3:uid="{EADFE43F-E653-4607-85D1-064C3EAD162A}" name="baseline_capture" dataDxfId="13"/>
    <tableColumn id="3" xr3:uid="{B2470E7A-E1F1-476E-ADA7-AF70940D9F17}" name="v1_bucket_x_exposure" dataDxfId="12"/>
    <tableColumn id="4" xr3:uid="{2297EB52-27E9-4F1D-B6BA-CB1310B07191}" name="v2_dpdband_x_exposure" dataDxfId="11"/>
    <tableColumn id="5" xr3:uid="{DDC20B9A-CA1A-4E9C-A969-925ED3FA25C5}" name="v3_band_then_exposure" dataDxfId="10"/>
    <tableColumn id="6" xr3:uid="{63EA4C97-65D6-42F0-AE07-1FB9F46E321F}" name="random_capture" dataDxfId="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D181F2-51C3-4823-929E-D82D9F8C43FC}" name="tblRoll" displayName="tblRoll" ref="A1:D28" totalsRowShown="0" headerRowDxfId="8" dataDxfId="7">
  <autoFilter ref="A1:D28" xr:uid="{5DD181F2-51C3-4823-929E-D82D9F8C43FC}"/>
  <tableColumns count="4">
    <tableColumn id="1" xr3:uid="{DDDBE0AF-BEE0-4CA2-A1F8-1ACAC6E2380F}" name="bucket" dataDxfId="6"/>
    <tableColumn id="2" xr3:uid="{3E679327-ED56-4DDF-9BC7-906C6B34C477}" name="next_bucket" dataDxfId="5"/>
    <tableColumn id="3" xr3:uid="{7F6D9240-1343-4A29-B690-F4961D8FDE6E}" name="n" dataDxfId="4"/>
    <tableColumn id="4" xr3:uid="{BFE7953D-16EC-4944-88FE-E5A28B32BC71}" name="pct" dataDxfId="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DDAEF75-A1C4-4055-BCD7-538121426149}" name="tblBucket" displayName="tblBucket" ref="A1:C4" totalsRowShown="0" headerRowDxfId="2">
  <autoFilter ref="A1:C4" xr:uid="{0DDAEF75-A1C4-4055-BCD7-538121426149}"/>
  <tableColumns count="3">
    <tableColumn id="1" xr3:uid="{264E5B8D-42E7-4A19-BB82-D9A6BDA263BC}" name="bucket"/>
    <tableColumn id="2" xr3:uid="{6AEB1FFC-7ABB-4B9E-BE22-E049A40F533B}" name="account_months" dataDxfId="1"/>
    <tableColumn id="3" xr3:uid="{33655FA8-EDA7-4E16-8F93-779C4160E77C}" name="pct_bad_nex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showGridLines="0" tabSelected="1" workbookViewId="0">
      <selection activeCell="G15" sqref="G15"/>
    </sheetView>
  </sheetViews>
  <sheetFormatPr defaultRowHeight="15"/>
  <cols>
    <col min="1" max="1" width="28.85546875" customWidth="1"/>
    <col min="2" max="2" width="25.85546875" customWidth="1"/>
    <col min="3" max="3" width="18.28515625" customWidth="1"/>
    <col min="5" max="5" width="30.140625" customWidth="1"/>
    <col min="6" max="6" width="22.5703125" customWidth="1"/>
  </cols>
  <sheetData>
    <row r="1" spans="1:6" ht="18.75">
      <c r="A1" s="10" t="s">
        <v>0</v>
      </c>
    </row>
    <row r="2" spans="1:6">
      <c r="A2" t="s">
        <v>1</v>
      </c>
    </row>
    <row r="3" spans="1:6" ht="15.75">
      <c r="A3" s="11" t="s">
        <v>2</v>
      </c>
    </row>
    <row r="4" spans="1:6">
      <c r="A4" s="5" t="s">
        <v>3</v>
      </c>
      <c r="B4" s="5" t="s">
        <v>4</v>
      </c>
      <c r="C4" s="5" t="s">
        <v>5</v>
      </c>
      <c r="D4" s="5" t="s">
        <v>6</v>
      </c>
      <c r="E4" s="6" t="s">
        <v>7</v>
      </c>
      <c r="F4" s="6" t="s">
        <v>8</v>
      </c>
    </row>
    <row r="5" spans="1:6">
      <c r="A5" s="4" t="s">
        <v>9</v>
      </c>
      <c r="B5" s="15">
        <f>SUMIFS(tblRoll[n], tblRoll[bucket], $A5)</f>
        <v>14357</v>
      </c>
      <c r="C5" s="15">
        <f>SUMIFS(tblRoll[n], tblRoll[bucket], $A5, tblRoll[next_bucket], "0 Current")</f>
        <v>6572</v>
      </c>
      <c r="D5" s="3">
        <f>C5/B5</f>
        <v>0.45775579856515985</v>
      </c>
      <c r="E5" s="15">
        <f>_xlfn.XLOOKUP($A5, tblBucket[bucket], tblBucket[account_months], "n/a")</f>
        <v>13607</v>
      </c>
      <c r="F5" s="3">
        <f>_xlfn.XLOOKUP($A5, tblBucket[bucket], tblBucket[pct_bad_next], "n/a")/100</f>
        <v>4.2000000000000003E-2</v>
      </c>
    </row>
    <row r="6" spans="1:6">
      <c r="A6" t="s">
        <v>10</v>
      </c>
      <c r="B6" s="15">
        <f>SUMIFS(tblRoll[n], tblRoll[bucket], $A6)</f>
        <v>698</v>
      </c>
      <c r="C6" s="15">
        <f>SUMIFS(tblRoll[n], tblRoll[bucket], $A6, tblRoll[next_bucket], "0 Current")</f>
        <v>80</v>
      </c>
      <c r="D6" s="3">
        <f t="shared" ref="D6:D7" si="0">C6/B6</f>
        <v>0.11461318051575932</v>
      </c>
      <c r="E6" s="15">
        <f>_xlfn.XLOOKUP($A6, tblBucket[bucket], tblBucket[account_months], "n/a")</f>
        <v>601</v>
      </c>
      <c r="F6" s="3">
        <f>_xlfn.XLOOKUP($A6, tblBucket[bucket], tblBucket[pct_bad_next], "n/a")/100</f>
        <v>0.621</v>
      </c>
    </row>
    <row r="7" spans="1:6">
      <c r="A7" t="s">
        <v>11</v>
      </c>
      <c r="B7" s="15">
        <f>SUMIFS(tblRoll[n], tblRoll[bucket], $A7)</f>
        <v>455</v>
      </c>
      <c r="C7" s="15">
        <f>SUMIFS(tblRoll[n], tblRoll[bucket], $A7, tblRoll[next_bucket], "0 Current")</f>
        <v>11</v>
      </c>
      <c r="D7" s="3">
        <f t="shared" si="0"/>
        <v>2.4175824175824177E-2</v>
      </c>
      <c r="E7" s="15">
        <f>_xlfn.XLOOKUP($A7, tblBucket[bucket], tblBucket[account_months], "n/a")</f>
        <v>372</v>
      </c>
      <c r="F7" s="3">
        <f>_xlfn.XLOOKUP($A7, tblBucket[bucket], tblBucket[pct_bad_next], "n/a")/100</f>
        <v>0.92500000000000004</v>
      </c>
    </row>
    <row r="10" spans="1:6" ht="15.75">
      <c r="A10" s="11" t="s">
        <v>12</v>
      </c>
    </row>
    <row r="11" spans="1:6">
      <c r="A11" s="8" t="s">
        <v>13</v>
      </c>
      <c r="B11" s="16">
        <f>_xlfn.XLOOKUP(0.1, tblGain[capacity_pct], tblGain[baseline_capture], "n/a")</f>
        <v>0.59699999999999998</v>
      </c>
    </row>
    <row r="12" spans="1:6">
      <c r="A12" s="8" t="s">
        <v>14</v>
      </c>
      <c r="B12" s="17">
        <f>_xlfn.XLOOKUP(0.1, tblGain[capacity_pct], tblGain[v3_band_then_exposure], "n/a")</f>
        <v>0.59</v>
      </c>
    </row>
    <row r="13" spans="1:6">
      <c r="A13" s="12" t="s">
        <v>15</v>
      </c>
      <c r="B13" s="17">
        <f>_xlfn.XLOOKUP(0.1, tblGain[capacity_pct], tblGain[random_capture], "n/a")</f>
        <v>0.1</v>
      </c>
    </row>
    <row r="14" spans="1:6">
      <c r="A14" s="8" t="s">
        <v>16</v>
      </c>
      <c r="B14" s="13">
        <f>B11/B13</f>
        <v>5.97</v>
      </c>
    </row>
    <row r="15" spans="1:6">
      <c r="A15" s="14" t="s">
        <v>17</v>
      </c>
      <c r="B15" s="18">
        <f>(B12-B11)*100</f>
        <v>-0.70000000000000062</v>
      </c>
    </row>
    <row r="27" spans="1:1">
      <c r="A27" s="9" t="s">
        <v>18</v>
      </c>
    </row>
    <row r="28" spans="1:1">
      <c r="A28" t="s">
        <v>19</v>
      </c>
    </row>
    <row r="29" spans="1:1">
      <c r="A29" t="s">
        <v>20</v>
      </c>
    </row>
    <row r="30" spans="1:1">
      <c r="A30" t="s">
        <v>21</v>
      </c>
    </row>
    <row r="31" spans="1:1">
      <c r="A31" t="s">
        <v>22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16B50-45C3-48A2-8D17-3AC6B592CEB1}">
  <dimension ref="A3:H9"/>
  <sheetViews>
    <sheetView workbookViewId="0">
      <selection activeCell="I17" sqref="I17"/>
    </sheetView>
  </sheetViews>
  <sheetFormatPr defaultRowHeight="15"/>
  <cols>
    <col min="1" max="1" width="15.42578125" customWidth="1"/>
    <col min="2" max="2" width="15.28515625" bestFit="1" customWidth="1"/>
    <col min="3" max="3" width="6.42578125" bestFit="1" customWidth="1"/>
    <col min="4" max="4" width="6.140625" bestFit="1" customWidth="1"/>
    <col min="5" max="6" width="6.42578125" bestFit="1" customWidth="1"/>
    <col min="7" max="7" width="7" bestFit="1" customWidth="1"/>
    <col min="8" max="8" width="11.7109375" bestFit="1" customWidth="1"/>
  </cols>
  <sheetData>
    <row r="3" spans="1:8">
      <c r="A3" s="2" t="s">
        <v>23</v>
      </c>
      <c r="B3" s="2" t="s">
        <v>24</v>
      </c>
    </row>
    <row r="4" spans="1:8">
      <c r="A4" s="2" t="s">
        <v>25</v>
      </c>
      <c r="B4" t="s">
        <v>26</v>
      </c>
      <c r="C4" t="s">
        <v>9</v>
      </c>
      <c r="D4" t="s">
        <v>10</v>
      </c>
      <c r="E4" t="s">
        <v>11</v>
      </c>
      <c r="F4" t="s">
        <v>27</v>
      </c>
      <c r="G4" t="s">
        <v>28</v>
      </c>
      <c r="H4" t="s">
        <v>29</v>
      </c>
    </row>
    <row r="5" spans="1:8">
      <c r="A5" t="s">
        <v>26</v>
      </c>
      <c r="B5" s="3">
        <v>0.91124014349716309</v>
      </c>
      <c r="C5" s="3">
        <v>1.1217570623126101E-2</v>
      </c>
      <c r="D5" s="3">
        <v>3.1882590447720838E-5</v>
      </c>
      <c r="E5" s="3">
        <v>0</v>
      </c>
      <c r="F5" s="3">
        <v>3.4433197683538512E-5</v>
      </c>
      <c r="G5" s="3">
        <v>7.7475970091579555E-2</v>
      </c>
      <c r="H5" s="3">
        <v>1</v>
      </c>
    </row>
    <row r="6" spans="1:8">
      <c r="A6" t="s">
        <v>9</v>
      </c>
      <c r="B6" s="3">
        <v>0.45775579856515985</v>
      </c>
      <c r="C6" s="3">
        <v>0.4043323814167305</v>
      </c>
      <c r="D6" s="3">
        <v>4.4647210420004177E-2</v>
      </c>
      <c r="E6" s="3">
        <v>9.7513408093612868E-4</v>
      </c>
      <c r="F6" s="3">
        <v>0</v>
      </c>
      <c r="G6" s="3">
        <v>9.2289475517169331E-2</v>
      </c>
      <c r="H6" s="3">
        <v>1</v>
      </c>
    </row>
    <row r="7" spans="1:8">
      <c r="A7" t="s">
        <v>10</v>
      </c>
      <c r="B7" s="3">
        <v>0.11461318051575932</v>
      </c>
      <c r="C7" s="3">
        <v>7.7363896848137534E-2</v>
      </c>
      <c r="D7" s="3">
        <v>6.0171919770773637E-2</v>
      </c>
      <c r="E7" s="3">
        <v>0.61891117478510027</v>
      </c>
      <c r="F7" s="3">
        <v>1.2893982808022923E-2</v>
      </c>
      <c r="G7" s="3">
        <v>0.11604584527220631</v>
      </c>
      <c r="H7" s="3">
        <v>1</v>
      </c>
    </row>
    <row r="8" spans="1:8">
      <c r="A8" t="s">
        <v>11</v>
      </c>
      <c r="B8" s="3">
        <v>2.4175824175824177E-2</v>
      </c>
      <c r="C8" s="3">
        <v>4.3956043956043956E-3</v>
      </c>
      <c r="D8" s="3">
        <v>4.3956043956043956E-3</v>
      </c>
      <c r="E8" s="3">
        <v>6.5934065934065934E-3</v>
      </c>
      <c r="F8" s="3">
        <v>0.91428571428571426</v>
      </c>
      <c r="G8" s="3">
        <v>4.6153846153846156E-2</v>
      </c>
      <c r="H8" s="3">
        <v>1</v>
      </c>
    </row>
    <row r="9" spans="1:8">
      <c r="A9" t="s">
        <v>27</v>
      </c>
      <c r="B9" s="3">
        <v>2.0460621015833846E-2</v>
      </c>
      <c r="C9" s="3">
        <v>2.0563438206868187E-4</v>
      </c>
      <c r="D9" s="3">
        <v>1.0281719103434094E-4</v>
      </c>
      <c r="E9" s="3">
        <v>0</v>
      </c>
      <c r="F9" s="3">
        <v>0.95681677976557677</v>
      </c>
      <c r="G9" s="3">
        <v>2.2414147645486326E-2</v>
      </c>
      <c r="H9" s="3">
        <v>1</v>
      </c>
    </row>
  </sheetData>
  <conditionalFormatting pivot="1" sqref="B5:G9">
    <cfRule type="colorScale" priority="2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87D67-796C-40F7-BF72-CD88DB787CA5}">
  <dimension ref="A1:F6"/>
  <sheetViews>
    <sheetView topLeftCell="B16" workbookViewId="0">
      <selection activeCell="F15" sqref="F15"/>
    </sheetView>
  </sheetViews>
  <sheetFormatPr defaultRowHeight="15"/>
  <cols>
    <col min="1" max="1" width="14.5703125" bestFit="1" customWidth="1"/>
    <col min="2" max="2" width="18.85546875" bestFit="1" customWidth="1"/>
    <col min="3" max="3" width="24.42578125" bestFit="1" customWidth="1"/>
    <col min="4" max="4" width="26.28515625" bestFit="1" customWidth="1"/>
    <col min="5" max="5" width="26" bestFit="1" customWidth="1"/>
    <col min="6" max="6" width="18.42578125" bestFit="1" customWidth="1"/>
  </cols>
  <sheetData>
    <row r="1" spans="1:6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0.05</v>
      </c>
      <c r="B2" s="1">
        <v>0.45700000000000002</v>
      </c>
      <c r="C2" s="1">
        <v>0.39</v>
      </c>
      <c r="D2" s="1">
        <v>0.437</v>
      </c>
      <c r="E2" s="1">
        <v>0.45300000000000001</v>
      </c>
      <c r="F2" s="1">
        <v>0.05</v>
      </c>
    </row>
    <row r="3" spans="1:6">
      <c r="A3" s="1">
        <v>0.1</v>
      </c>
      <c r="B3" s="1">
        <v>0.59699999999999998</v>
      </c>
      <c r="C3" s="1">
        <v>0.48799999999999999</v>
      </c>
      <c r="D3" s="1">
        <v>0.52200000000000002</v>
      </c>
      <c r="E3" s="1">
        <v>0.59</v>
      </c>
      <c r="F3" s="1">
        <v>0.1</v>
      </c>
    </row>
    <row r="4" spans="1:6">
      <c r="A4" s="1">
        <v>0.2</v>
      </c>
      <c r="B4" s="1">
        <v>0.68600000000000005</v>
      </c>
      <c r="C4" s="1">
        <v>0.57699999999999996</v>
      </c>
      <c r="D4" s="1">
        <v>0.63200000000000001</v>
      </c>
      <c r="E4" s="1">
        <v>0.68500000000000005</v>
      </c>
      <c r="F4" s="1">
        <v>0.2</v>
      </c>
    </row>
    <row r="5" spans="1:6">
      <c r="A5" s="1">
        <v>0.3</v>
      </c>
      <c r="B5" s="1">
        <v>0.80700000000000005</v>
      </c>
      <c r="C5" s="1">
        <v>0.627</v>
      </c>
      <c r="D5" s="1">
        <v>0.68899999999999995</v>
      </c>
      <c r="E5" s="1">
        <v>0.79700000000000004</v>
      </c>
      <c r="F5" s="1">
        <v>0.3</v>
      </c>
    </row>
    <row r="6" spans="1:6">
      <c r="A6" s="1">
        <v>0.5</v>
      </c>
      <c r="B6" s="1">
        <v>0.89</v>
      </c>
      <c r="C6" s="1">
        <v>0.72399999999999998</v>
      </c>
      <c r="D6" s="1">
        <v>0.79300000000000004</v>
      </c>
      <c r="E6" s="1">
        <v>0.88600000000000001</v>
      </c>
      <c r="F6" s="1">
        <v>0.5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AA688-27DE-48F8-B807-7C24A2513F46}">
  <dimension ref="A1:D28"/>
  <sheetViews>
    <sheetView workbookViewId="0">
      <selection activeCell="A2" sqref="A2"/>
    </sheetView>
  </sheetViews>
  <sheetFormatPr defaultRowHeight="15"/>
  <cols>
    <col min="1" max="1" width="9.42578125" bestFit="1" customWidth="1"/>
    <col min="2" max="2" width="14.42578125" bestFit="1" customWidth="1"/>
  </cols>
  <sheetData>
    <row r="1" spans="1:4">
      <c r="A1" s="1" t="s">
        <v>36</v>
      </c>
      <c r="B1" s="1" t="s">
        <v>37</v>
      </c>
      <c r="C1" s="1" t="s">
        <v>38</v>
      </c>
      <c r="D1" s="1" t="s">
        <v>39</v>
      </c>
    </row>
    <row r="2" spans="1:4">
      <c r="A2" s="1" t="s">
        <v>26</v>
      </c>
      <c r="B2" s="1" t="s">
        <v>26</v>
      </c>
      <c r="C2" s="1">
        <v>714528</v>
      </c>
      <c r="D2" s="1">
        <v>91.1</v>
      </c>
    </row>
    <row r="3" spans="1:4">
      <c r="A3" s="1" t="s">
        <v>26</v>
      </c>
      <c r="B3" s="7" t="s">
        <v>9</v>
      </c>
      <c r="C3" s="1">
        <v>8796</v>
      </c>
      <c r="D3" s="1">
        <v>1.1000000000000001</v>
      </c>
    </row>
    <row r="4" spans="1:4">
      <c r="A4" s="1" t="s">
        <v>26</v>
      </c>
      <c r="B4" s="1" t="s">
        <v>10</v>
      </c>
      <c r="C4" s="1">
        <v>25</v>
      </c>
      <c r="D4" s="1">
        <v>0</v>
      </c>
    </row>
    <row r="5" spans="1:4">
      <c r="A5" s="1" t="s">
        <v>26</v>
      </c>
      <c r="B5" s="1" t="s">
        <v>27</v>
      </c>
      <c r="C5" s="1">
        <v>27</v>
      </c>
      <c r="D5" s="1">
        <v>0</v>
      </c>
    </row>
    <row r="6" spans="1:4">
      <c r="A6" s="1" t="s">
        <v>26</v>
      </c>
      <c r="B6" s="1" t="s">
        <v>28</v>
      </c>
      <c r="C6" s="1">
        <v>60751</v>
      </c>
      <c r="D6" s="1">
        <v>7.7</v>
      </c>
    </row>
    <row r="7" spans="1:4">
      <c r="A7" s="7" t="s">
        <v>9</v>
      </c>
      <c r="B7" s="1" t="s">
        <v>26</v>
      </c>
      <c r="C7" s="1">
        <v>6572</v>
      </c>
      <c r="D7" s="1">
        <v>45.8</v>
      </c>
    </row>
    <row r="8" spans="1:4">
      <c r="A8" s="7" t="s">
        <v>9</v>
      </c>
      <c r="B8" s="7" t="s">
        <v>9</v>
      </c>
      <c r="C8" s="1">
        <v>5805</v>
      </c>
      <c r="D8" s="1">
        <v>40.4</v>
      </c>
    </row>
    <row r="9" spans="1:4">
      <c r="A9" s="7" t="s">
        <v>9</v>
      </c>
      <c r="B9" s="1" t="s">
        <v>10</v>
      </c>
      <c r="C9" s="1">
        <v>641</v>
      </c>
      <c r="D9" s="1">
        <v>4.5</v>
      </c>
    </row>
    <row r="10" spans="1:4">
      <c r="A10" s="7" t="s">
        <v>9</v>
      </c>
      <c r="B10" s="1" t="s">
        <v>11</v>
      </c>
      <c r="C10" s="1">
        <v>14</v>
      </c>
      <c r="D10" s="1">
        <v>0.1</v>
      </c>
    </row>
    <row r="11" spans="1:4">
      <c r="A11" s="7" t="s">
        <v>9</v>
      </c>
      <c r="B11" s="1" t="s">
        <v>28</v>
      </c>
      <c r="C11" s="1">
        <v>1325</v>
      </c>
      <c r="D11" s="1">
        <v>9.1999999999999993</v>
      </c>
    </row>
    <row r="12" spans="1:4">
      <c r="A12" s="1" t="s">
        <v>10</v>
      </c>
      <c r="B12" s="1" t="s">
        <v>26</v>
      </c>
      <c r="C12" s="1">
        <v>80</v>
      </c>
      <c r="D12" s="1">
        <v>11.5</v>
      </c>
    </row>
    <row r="13" spans="1:4">
      <c r="A13" s="1" t="s">
        <v>10</v>
      </c>
      <c r="B13" s="7" t="s">
        <v>9</v>
      </c>
      <c r="C13" s="1">
        <v>54</v>
      </c>
      <c r="D13" s="1">
        <v>7.7</v>
      </c>
    </row>
    <row r="14" spans="1:4">
      <c r="A14" s="1" t="s">
        <v>10</v>
      </c>
      <c r="B14" s="1" t="s">
        <v>10</v>
      </c>
      <c r="C14" s="1">
        <v>42</v>
      </c>
      <c r="D14" s="1">
        <v>6</v>
      </c>
    </row>
    <row r="15" spans="1:4">
      <c r="A15" s="1" t="s">
        <v>10</v>
      </c>
      <c r="B15" s="1" t="s">
        <v>11</v>
      </c>
      <c r="C15" s="1">
        <v>432</v>
      </c>
      <c r="D15" s="1">
        <v>61.9</v>
      </c>
    </row>
    <row r="16" spans="1:4">
      <c r="A16" s="1" t="s">
        <v>10</v>
      </c>
      <c r="B16" s="1" t="s">
        <v>27</v>
      </c>
      <c r="C16" s="1">
        <v>9</v>
      </c>
      <c r="D16" s="1">
        <v>1.3</v>
      </c>
    </row>
    <row r="17" spans="1:4">
      <c r="A17" s="1" t="s">
        <v>10</v>
      </c>
      <c r="B17" s="1" t="s">
        <v>28</v>
      </c>
      <c r="C17" s="1">
        <v>81</v>
      </c>
      <c r="D17" s="1">
        <v>11.6</v>
      </c>
    </row>
    <row r="18" spans="1:4">
      <c r="A18" s="1" t="s">
        <v>11</v>
      </c>
      <c r="B18" s="1" t="s">
        <v>26</v>
      </c>
      <c r="C18" s="1">
        <v>11</v>
      </c>
      <c r="D18" s="1">
        <v>2.4</v>
      </c>
    </row>
    <row r="19" spans="1:4">
      <c r="A19" s="1" t="s">
        <v>11</v>
      </c>
      <c r="B19" s="7" t="s">
        <v>9</v>
      </c>
      <c r="C19" s="1">
        <v>2</v>
      </c>
      <c r="D19" s="1">
        <v>0.4</v>
      </c>
    </row>
    <row r="20" spans="1:4">
      <c r="A20" s="1" t="s">
        <v>11</v>
      </c>
      <c r="B20" s="1" t="s">
        <v>10</v>
      </c>
      <c r="C20" s="1">
        <v>2</v>
      </c>
      <c r="D20" s="1">
        <v>0.4</v>
      </c>
    </row>
    <row r="21" spans="1:4">
      <c r="A21" s="1" t="s">
        <v>11</v>
      </c>
      <c r="B21" s="1" t="s">
        <v>11</v>
      </c>
      <c r="C21" s="1">
        <v>3</v>
      </c>
      <c r="D21" s="1">
        <v>0.7</v>
      </c>
    </row>
    <row r="22" spans="1:4">
      <c r="A22" s="1" t="s">
        <v>11</v>
      </c>
      <c r="B22" s="1" t="s">
        <v>27</v>
      </c>
      <c r="C22" s="1">
        <v>416</v>
      </c>
      <c r="D22" s="1">
        <v>91.4</v>
      </c>
    </row>
    <row r="23" spans="1:4">
      <c r="A23" s="1" t="s">
        <v>11</v>
      </c>
      <c r="B23" s="1" t="s">
        <v>28</v>
      </c>
      <c r="C23" s="1">
        <v>21</v>
      </c>
      <c r="D23" s="1">
        <v>4.5999999999999996</v>
      </c>
    </row>
    <row r="24" spans="1:4">
      <c r="A24" s="1" t="s">
        <v>27</v>
      </c>
      <c r="B24" s="1" t="s">
        <v>26</v>
      </c>
      <c r="C24" s="1">
        <v>199</v>
      </c>
      <c r="D24" s="1">
        <v>2</v>
      </c>
    </row>
    <row r="25" spans="1:4">
      <c r="A25" s="1" t="s">
        <v>27</v>
      </c>
      <c r="B25" s="7" t="s">
        <v>9</v>
      </c>
      <c r="C25" s="1">
        <v>2</v>
      </c>
      <c r="D25" s="1">
        <v>0</v>
      </c>
    </row>
    <row r="26" spans="1:4">
      <c r="A26" s="1" t="s">
        <v>27</v>
      </c>
      <c r="B26" s="1" t="s">
        <v>10</v>
      </c>
      <c r="C26" s="1">
        <v>1</v>
      </c>
      <c r="D26" s="1">
        <v>0</v>
      </c>
    </row>
    <row r="27" spans="1:4">
      <c r="A27" s="1" t="s">
        <v>27</v>
      </c>
      <c r="B27" s="1" t="s">
        <v>27</v>
      </c>
      <c r="C27" s="1">
        <v>9306</v>
      </c>
      <c r="D27" s="1">
        <v>95.7</v>
      </c>
    </row>
    <row r="28" spans="1:4">
      <c r="A28" s="1" t="s">
        <v>27</v>
      </c>
      <c r="B28" s="1" t="s">
        <v>28</v>
      </c>
      <c r="C28" s="1">
        <v>218</v>
      </c>
      <c r="D28" s="1">
        <v>2.2000000000000002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172EC-BC88-435D-B362-12484597750A}">
  <dimension ref="A1:C4"/>
  <sheetViews>
    <sheetView workbookViewId="0">
      <selection activeCell="G11" sqref="G11"/>
    </sheetView>
  </sheetViews>
  <sheetFormatPr defaultRowHeight="15"/>
  <cols>
    <col min="1" max="1" width="9.42578125" bestFit="1" customWidth="1"/>
    <col min="2" max="2" width="18.42578125" bestFit="1" customWidth="1"/>
    <col min="3" max="3" width="15.85546875" bestFit="1" customWidth="1"/>
  </cols>
  <sheetData>
    <row r="1" spans="1:3">
      <c r="A1" s="1" t="s">
        <v>36</v>
      </c>
      <c r="B1" s="1" t="s">
        <v>40</v>
      </c>
      <c r="C1" s="1" t="s">
        <v>41</v>
      </c>
    </row>
    <row r="2" spans="1:3">
      <c r="A2" s="7" t="s">
        <v>9</v>
      </c>
      <c r="B2" s="1">
        <v>13607</v>
      </c>
      <c r="C2" s="1">
        <v>4.2</v>
      </c>
    </row>
    <row r="3" spans="1:3">
      <c r="A3" s="1" t="s">
        <v>10</v>
      </c>
      <c r="B3" s="1">
        <v>601</v>
      </c>
      <c r="C3" s="1">
        <v>62.1</v>
      </c>
    </row>
    <row r="4" spans="1:3">
      <c r="A4" s="1" t="s">
        <v>11</v>
      </c>
      <c r="B4" s="1">
        <v>372</v>
      </c>
      <c r="C4" s="1">
        <v>92.5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2026-10-14T17:25:04Z</dcterms:created>
  <dcterms:modified xsi:type="dcterms:W3CDTF">2026-10-15T07:57:33Z</dcterms:modified>
  <cp:category/>
  <cp:contentStatus/>
</cp:coreProperties>
</file>